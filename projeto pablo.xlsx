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PU\Documents\github\eXCEL\"/>
    </mc:Choice>
  </mc:AlternateContent>
  <xr:revisionPtr revIDLastSave="0" documentId="8_{3A2E96C1-65F6-413E-B980-A95604E485A7}" xr6:coauthVersionLast="47" xr6:coauthVersionMax="47" xr10:uidLastSave="{00000000-0000-0000-0000-000000000000}"/>
  <bookViews>
    <workbookView xWindow="-24120" yWindow="-120" windowWidth="24240" windowHeight="13740" tabRatio="87" xr2:uid="{B982A254-4A1C-4F11-9551-5F9FEC419572}"/>
  </bookViews>
  <sheets>
    <sheet name="Planilha2" sheetId="2" r:id="rId1"/>
    <sheet name="Planilha1" sheetId="3" r:id="rId2"/>
  </sheets>
  <definedNames>
    <definedName name="_xlchart.v1.0" hidden="1">Planilha2!$B$39:$B$44</definedName>
    <definedName name="_xlchart.v1.1" hidden="1">Planilha2!$C$39:$C$44</definedName>
    <definedName name="_xlchart.v1.2" hidden="1">Planilha2!$D$39:$D$44</definedName>
    <definedName name="Aporte">Planilha2!$D$21</definedName>
    <definedName name="Rendimento_carteira">Planilha2!$D$15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0" i="2" l="1"/>
  <c r="D40" i="2" s="1"/>
  <c r="C41" i="2"/>
  <c r="D41" i="2" s="1"/>
  <c r="C42" i="2"/>
  <c r="D42" i="2" s="1"/>
  <c r="C43" i="2"/>
  <c r="D43" i="2" s="1"/>
  <c r="C44" i="2"/>
  <c r="D44" i="2" s="1"/>
  <c r="C39" i="2"/>
  <c r="C32" i="2"/>
  <c r="D32" i="2" s="1"/>
  <c r="C31" i="2"/>
  <c r="D31" i="2" s="1"/>
  <c r="C30" i="2"/>
  <c r="D30" i="2" s="1"/>
  <c r="C29" i="2"/>
  <c r="D29" i="2" s="1"/>
  <c r="C28" i="2"/>
  <c r="D28" i="2" s="1"/>
  <c r="D24" i="2"/>
  <c r="D25" i="2" s="1"/>
  <c r="C45" i="2" l="1"/>
  <c r="D39" i="2"/>
  <c r="D45" i="2" s="1"/>
</calcChain>
</file>

<file path=xl/sharedStrings.xml><?xml version="1.0" encoding="utf-8"?>
<sst xmlns="http://schemas.openxmlformats.org/spreadsheetml/2006/main" count="88" uniqueCount="53">
  <si>
    <t>quanto investir por mês?</t>
  </si>
  <si>
    <t>Por quantos anos?</t>
  </si>
  <si>
    <t>Taxa de rendimento mensal?</t>
  </si>
  <si>
    <t>Patrimônio acumulado?</t>
  </si>
  <si>
    <t>Dividendos mensais?</t>
  </si>
  <si>
    <t>INVESTIMENTO MENSAL</t>
  </si>
  <si>
    <t>Quanto em 30 Anos?</t>
  </si>
  <si>
    <t>Quanto em 20 Anos?</t>
  </si>
  <si>
    <t>Quanto em 10 Anos?</t>
  </si>
  <si>
    <t>Quanto em 5 Anos?</t>
  </si>
  <si>
    <t>Quanto em 2 Anos?</t>
  </si>
  <si>
    <t>Cenários</t>
  </si>
  <si>
    <t>Dividendo por mês</t>
  </si>
  <si>
    <t>Salario</t>
  </si>
  <si>
    <t>Rendimento carteira</t>
  </si>
  <si>
    <t>CONFIGURAÇÕES</t>
  </si>
  <si>
    <t>Perfil</t>
  </si>
  <si>
    <t>Agressivo</t>
  </si>
  <si>
    <t>Moderado</t>
  </si>
  <si>
    <t>Conservador</t>
  </si>
  <si>
    <t>VALOR A SER INVESTIDO POR MÊS</t>
  </si>
  <si>
    <t>PERFIL</t>
  </si>
  <si>
    <t>Percentual Sugerido</t>
  </si>
  <si>
    <t>Valores</t>
  </si>
  <si>
    <t>Tipos de FII</t>
  </si>
  <si>
    <t>PAPEL</t>
  </si>
  <si>
    <t>TIJOLO</t>
  </si>
  <si>
    <t>HÍBRIDOS</t>
  </si>
  <si>
    <t>FOF's</t>
  </si>
  <si>
    <t>DESENVOLVIMENTO</t>
  </si>
  <si>
    <t>HOTELARIAS</t>
  </si>
  <si>
    <t>TOTAL</t>
  </si>
  <si>
    <t>%</t>
  </si>
  <si>
    <t>Conservador-PAPEL</t>
  </si>
  <si>
    <t>Conservador-TIJOLO</t>
  </si>
  <si>
    <t>Conservador-HÍBRIDOS</t>
  </si>
  <si>
    <t>Conservador-FOF's</t>
  </si>
  <si>
    <t>Conservador-DESENVOLVIMENTO</t>
  </si>
  <si>
    <t>Conservador-HOTELARIAS</t>
  </si>
  <si>
    <t>Chave</t>
  </si>
  <si>
    <t>Moderado-PAPEL</t>
  </si>
  <si>
    <t>Moderado-TIJOLO</t>
  </si>
  <si>
    <t>Moderado-HÍBRIDOS</t>
  </si>
  <si>
    <t>Moderado-FOF's</t>
  </si>
  <si>
    <t>Moderado-DESENVOLVIMENTO</t>
  </si>
  <si>
    <t>Moderado-HOTELARIAS</t>
  </si>
  <si>
    <t>Agressivo-PAPEL</t>
  </si>
  <si>
    <t>Agressivo-TIJOLO</t>
  </si>
  <si>
    <t>Agressivo-HÍBRIDOS</t>
  </si>
  <si>
    <t>Agressivo-FOF's</t>
  </si>
  <si>
    <t>Agressivo-DESENVOLVIMENTO</t>
  </si>
  <si>
    <t>Agressivo-HOTELARIAS</t>
  </si>
  <si>
    <t>Sugestão de rendimento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</si>
</sst>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7" formatCode="&quot;R$&quot;\ 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0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</fills>
  <borders count="3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 style="medium">
        <color indexed="64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medium">
        <color indexed="64"/>
      </right>
      <top/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167" fontId="0" fillId="5" borderId="9" xfId="1" applyNumberFormat="1" applyFont="1" applyFill="1" applyBorder="1" applyAlignment="1">
      <alignment horizontal="left" vertical="center" indent="1"/>
    </xf>
    <xf numFmtId="8" fontId="0" fillId="5" borderId="10" xfId="0" applyNumberFormat="1" applyFill="1" applyBorder="1" applyAlignment="1">
      <alignment horizontal="left" vertical="center" indent="1"/>
    </xf>
    <xf numFmtId="0" fontId="0" fillId="0" borderId="0" xfId="0" applyAlignment="1">
      <alignment horizontal="left" indent="1"/>
    </xf>
    <xf numFmtId="0" fontId="2" fillId="0" borderId="7" xfId="0" applyFont="1" applyBorder="1" applyAlignment="1">
      <alignment horizontal="left" indent="1"/>
    </xf>
    <xf numFmtId="10" fontId="2" fillId="0" borderId="7" xfId="0" applyNumberFormat="1" applyFont="1" applyBorder="1" applyAlignment="1">
      <alignment horizontal="left" indent="1"/>
    </xf>
    <xf numFmtId="8" fontId="2" fillId="3" borderId="7" xfId="0" applyNumberFormat="1" applyFont="1" applyFill="1" applyBorder="1" applyAlignment="1">
      <alignment horizontal="left" indent="1"/>
    </xf>
    <xf numFmtId="8" fontId="2" fillId="3" borderId="8" xfId="0" applyNumberFormat="1" applyFont="1" applyFill="1" applyBorder="1" applyAlignment="1">
      <alignment horizontal="left" indent="1"/>
    </xf>
    <xf numFmtId="9" fontId="0" fillId="0" borderId="11" xfId="0" applyNumberFormat="1" applyBorder="1" applyAlignment="1">
      <alignment horizontal="left" indent="1"/>
    </xf>
    <xf numFmtId="167" fontId="0" fillId="0" borderId="12" xfId="0" applyNumberFormat="1" applyBorder="1" applyAlignment="1">
      <alignment horizontal="left" indent="1"/>
    </xf>
    <xf numFmtId="0" fontId="4" fillId="0" borderId="16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6" fillId="3" borderId="16" xfId="0" applyFont="1" applyFill="1" applyBorder="1" applyAlignment="1">
      <alignment horizontal="left"/>
    </xf>
    <xf numFmtId="0" fontId="6" fillId="3" borderId="6" xfId="0" applyFont="1" applyFill="1" applyBorder="1" applyAlignment="1">
      <alignment horizontal="left"/>
    </xf>
    <xf numFmtId="0" fontId="6" fillId="3" borderId="17" xfId="0" applyFont="1" applyFill="1" applyBorder="1" applyAlignment="1">
      <alignment horizontal="left"/>
    </xf>
    <xf numFmtId="0" fontId="6" fillId="3" borderId="18" xfId="0" applyFont="1" applyFill="1" applyBorder="1" applyAlignment="1">
      <alignment horizontal="left"/>
    </xf>
    <xf numFmtId="0" fontId="8" fillId="0" borderId="13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14" xfId="0" applyFont="1" applyBorder="1" applyAlignment="1">
      <alignment horizontal="left"/>
    </xf>
    <xf numFmtId="0" fontId="8" fillId="0" borderId="15" xfId="0" applyFont="1" applyBorder="1" applyAlignment="1">
      <alignment horizontal="left"/>
    </xf>
    <xf numFmtId="0" fontId="8" fillId="0" borderId="19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167" fontId="0" fillId="0" borderId="20" xfId="1" applyNumberFormat="1" applyFont="1" applyBorder="1" applyAlignment="1">
      <alignment horizontal="left" indent="1"/>
    </xf>
    <xf numFmtId="0" fontId="4" fillId="0" borderId="21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167" fontId="2" fillId="0" borderId="22" xfId="1" applyNumberFormat="1" applyFont="1" applyBorder="1" applyAlignment="1">
      <alignment horizontal="left" indent="1"/>
    </xf>
    <xf numFmtId="0" fontId="9" fillId="6" borderId="23" xfId="0" applyFont="1" applyFill="1" applyBorder="1" applyAlignment="1">
      <alignment horizontal="left" vertical="center"/>
    </xf>
    <xf numFmtId="0" fontId="9" fillId="6" borderId="24" xfId="0" applyFont="1" applyFill="1" applyBorder="1" applyAlignment="1">
      <alignment horizontal="left" vertical="center"/>
    </xf>
    <xf numFmtId="0" fontId="3" fillId="6" borderId="25" xfId="0" applyFont="1" applyFill="1" applyBorder="1" applyAlignment="1">
      <alignment horizontal="left" vertical="center"/>
    </xf>
    <xf numFmtId="0" fontId="5" fillId="2" borderId="26" xfId="0" applyFont="1" applyFill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0" fontId="0" fillId="2" borderId="27" xfId="0" applyFill="1" applyBorder="1" applyAlignment="1">
      <alignment horizontal="left" vertical="center"/>
    </xf>
    <xf numFmtId="0" fontId="7" fillId="4" borderId="4" xfId="0" applyFont="1" applyFill="1" applyBorder="1" applyAlignment="1"/>
    <xf numFmtId="0" fontId="7" fillId="4" borderId="24" xfId="0" applyFont="1" applyFill="1" applyBorder="1" applyAlignment="1"/>
    <xf numFmtId="0" fontId="0" fillId="4" borderId="3" xfId="0" applyFont="1" applyFill="1" applyBorder="1" applyAlignment="1"/>
    <xf numFmtId="0" fontId="0" fillId="5" borderId="28" xfId="0" applyFill="1" applyBorder="1" applyAlignment="1">
      <alignment horizontal="left" indent="1"/>
    </xf>
    <xf numFmtId="8" fontId="0" fillId="5" borderId="29" xfId="0" applyNumberFormat="1" applyFill="1" applyBorder="1" applyAlignment="1">
      <alignment horizontal="left" vertical="center" indent="1"/>
    </xf>
    <xf numFmtId="0" fontId="0" fillId="5" borderId="30" xfId="0" applyFill="1" applyBorder="1" applyAlignment="1">
      <alignment horizontal="left" indent="1"/>
    </xf>
    <xf numFmtId="0" fontId="0" fillId="5" borderId="31" xfId="0" applyFill="1" applyBorder="1" applyAlignment="1">
      <alignment horizontal="left" indent="1"/>
    </xf>
    <xf numFmtId="8" fontId="0" fillId="5" borderId="32" xfId="0" applyNumberFormat="1" applyFill="1" applyBorder="1" applyAlignment="1">
      <alignment horizontal="left" vertical="center" indent="1"/>
    </xf>
    <xf numFmtId="8" fontId="0" fillId="5" borderId="33" xfId="0" applyNumberFormat="1" applyFill="1" applyBorder="1" applyAlignment="1">
      <alignment horizontal="left" vertical="center" indent="1"/>
    </xf>
    <xf numFmtId="0" fontId="0" fillId="6" borderId="0" xfId="0" applyFill="1"/>
    <xf numFmtId="167" fontId="0" fillId="0" borderId="0" xfId="0" applyNumberFormat="1"/>
    <xf numFmtId="0" fontId="3" fillId="7" borderId="0" xfId="0" applyFont="1" applyFill="1"/>
    <xf numFmtId="9" fontId="0" fillId="0" borderId="34" xfId="0" applyNumberFormat="1" applyBorder="1"/>
    <xf numFmtId="0" fontId="0" fillId="6" borderId="34" xfId="0" applyFill="1" applyBorder="1"/>
    <xf numFmtId="0" fontId="0" fillId="0" borderId="34" xfId="0" applyBorder="1"/>
    <xf numFmtId="0" fontId="3" fillId="7" borderId="0" xfId="0" applyFont="1" applyFill="1" applyAlignment="1">
      <alignment horizontal="center"/>
    </xf>
    <xf numFmtId="9" fontId="0" fillId="0" borderId="34" xfId="0" applyNumberFormat="1" applyBorder="1" applyAlignment="1">
      <alignment horizontal="center"/>
    </xf>
    <xf numFmtId="0" fontId="3" fillId="8" borderId="0" xfId="0" applyFont="1" applyFill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Investimentos</a:t>
            </a:r>
            <a:r>
              <a:rPr lang="pt-BR" baseline="0"/>
              <a:t> recomendados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325-4984-9738-23F8AE50B2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325-4984-9738-23F8AE50B29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cat>
            <c:strRef>
              <c:f>Planilha2!$B$39:$B$44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FOF's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Planilha2!$C$39:$C$44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25-4984-9738-23F8AE50B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/>
                  </c:spPr>
                </c:dPt>
                <c:cat>
                  <c:strRef>
                    <c:extLst>
                      <c:ext uri="{02D57815-91ED-43cb-92C2-25804820EDAC}">
                        <c15:formulaRef>
                          <c15:sqref>Planilha2!$B$39:$B$44</c15:sqref>
                        </c15:formulaRef>
                      </c:ext>
                    </c:extLst>
                    <c:strCache>
                      <c:ptCount val="6"/>
                      <c:pt idx="0">
                        <c:v>PAPEL</c:v>
                      </c:pt>
                      <c:pt idx="1">
                        <c:v>TIJOLO</c:v>
                      </c:pt>
                      <c:pt idx="2">
                        <c:v>HÍBRIDOS</c:v>
                      </c:pt>
                      <c:pt idx="3">
                        <c:v>FOF's</c:v>
                      </c:pt>
                      <c:pt idx="4">
                        <c:v>DESENVOLVIMENTO</c:v>
                      </c:pt>
                      <c:pt idx="5">
                        <c:v>HOTELARIAS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Planilha2!$D$39:$D$44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100</c:v>
                      </c:pt>
                      <c:pt idx="1">
                        <c:v>20</c:v>
                      </c:pt>
                      <c:pt idx="2">
                        <c:v>10</c:v>
                      </c:pt>
                      <c:pt idx="3">
                        <c:v>10</c:v>
                      </c:pt>
                      <c:pt idx="4">
                        <c:v>40</c:v>
                      </c:pt>
                      <c:pt idx="5">
                        <c:v>20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D325-4984-9738-23F8AE50B291}"/>
                  </c:ext>
                </c:extLst>
              </c15:ser>
            </c15:filteredPieSeries>
          </c:ext>
        </c:extLst>
      </c:pieChart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18858</xdr:colOff>
      <xdr:row>1</xdr:row>
      <xdr:rowOff>41413</xdr:rowOff>
    </xdr:from>
    <xdr:to>
      <xdr:col>3</xdr:col>
      <xdr:colOff>1002196</xdr:colOff>
      <xdr:row>9</xdr:row>
      <xdr:rowOff>174194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84203AC-FAD2-42CB-DE14-473A5A095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1771" y="231913"/>
          <a:ext cx="5273729" cy="1656781"/>
        </a:xfrm>
        <a:prstGeom prst="rect">
          <a:avLst/>
        </a:prstGeom>
      </xdr:spPr>
    </xdr:pic>
    <xdr:clientData/>
  </xdr:twoCellAnchor>
  <xdr:twoCellAnchor>
    <xdr:from>
      <xdr:col>1</xdr:col>
      <xdr:colOff>1138858</xdr:colOff>
      <xdr:row>46</xdr:row>
      <xdr:rowOff>15736</xdr:rowOff>
    </xdr:from>
    <xdr:to>
      <xdr:col>3</xdr:col>
      <xdr:colOff>1043609</xdr:colOff>
      <xdr:row>56</xdr:row>
      <xdr:rowOff>74543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3C29AEC-C139-7C88-5C13-B8E9322A85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AA69B-6091-4BAE-80D3-01F3C7468281}">
  <dimension ref="A12:J45"/>
  <sheetViews>
    <sheetView showGridLines="0" tabSelected="1" topLeftCell="A35" zoomScale="115" zoomScaleNormal="115" workbookViewId="0">
      <selection activeCell="E49" sqref="E49"/>
    </sheetView>
  </sheetViews>
  <sheetFormatPr defaultColWidth="0" defaultRowHeight="15" x14ac:dyDescent="0.25"/>
  <cols>
    <col min="1" max="1" width="9.140625" customWidth="1"/>
    <col min="2" max="3" width="32.140625" customWidth="1"/>
    <col min="4" max="4" width="29.140625" customWidth="1"/>
    <col min="5" max="5" width="17.7109375" bestFit="1" customWidth="1"/>
    <col min="6" max="6" width="6.85546875" customWidth="1"/>
    <col min="7" max="7" width="12.7109375" bestFit="1" customWidth="1"/>
    <col min="8" max="8" width="2.28515625" hidden="1" customWidth="1"/>
    <col min="9" max="9" width="3.5703125" hidden="1" customWidth="1"/>
    <col min="10" max="10" width="2.28515625" hidden="1" customWidth="1"/>
    <col min="11" max="16384" width="9.140625" hidden="1"/>
  </cols>
  <sheetData>
    <row r="12" spans="2:5" ht="15.75" thickBot="1" x14ac:dyDescent="0.3"/>
    <row r="13" spans="2:5" ht="21.75" thickBot="1" x14ac:dyDescent="0.3">
      <c r="B13" s="30" t="s">
        <v>15</v>
      </c>
      <c r="C13" s="31"/>
      <c r="D13" s="32"/>
    </row>
    <row r="14" spans="2:5" x14ac:dyDescent="0.25">
      <c r="B14" s="24" t="s">
        <v>13</v>
      </c>
      <c r="C14" s="25"/>
      <c r="D14" s="26">
        <v>4200</v>
      </c>
      <c r="E14" s="7"/>
    </row>
    <row r="15" spans="2:5" x14ac:dyDescent="0.25">
      <c r="B15" s="20" t="s">
        <v>14</v>
      </c>
      <c r="C15" s="21"/>
      <c r="D15" s="12">
        <v>0.01</v>
      </c>
      <c r="E15" s="7"/>
    </row>
    <row r="16" spans="2:5" ht="15.75" thickBot="1" x14ac:dyDescent="0.3">
      <c r="B16" s="22" t="s">
        <v>52</v>
      </c>
      <c r="C16" s="23"/>
      <c r="D16" s="13">
        <v>1260</v>
      </c>
      <c r="E16" s="7"/>
    </row>
    <row r="17" spans="1:5" x14ac:dyDescent="0.25">
      <c r="B17" s="7"/>
      <c r="C17" s="7"/>
      <c r="D17" s="7"/>
      <c r="E17" s="7"/>
    </row>
    <row r="18" spans="1:5" x14ac:dyDescent="0.25">
      <c r="B18" s="7"/>
      <c r="C18" s="7"/>
      <c r="D18" s="7"/>
      <c r="E18" s="7"/>
    </row>
    <row r="19" spans="1:5" ht="14.25" customHeight="1" thickBot="1" x14ac:dyDescent="0.3">
      <c r="B19" s="7"/>
      <c r="C19" s="7"/>
      <c r="D19" s="7"/>
      <c r="E19" s="7"/>
    </row>
    <row r="20" spans="1:5" ht="24.75" customHeight="1" thickBot="1" x14ac:dyDescent="0.3">
      <c r="B20" s="33" t="s">
        <v>5</v>
      </c>
      <c r="C20" s="34"/>
      <c r="D20" s="35"/>
      <c r="E20" s="7"/>
    </row>
    <row r="21" spans="1:5" ht="18.75" x14ac:dyDescent="0.3">
      <c r="B21" s="27" t="s">
        <v>0</v>
      </c>
      <c r="C21" s="28"/>
      <c r="D21" s="29">
        <v>200</v>
      </c>
      <c r="E21" s="7"/>
    </row>
    <row r="22" spans="1:5" ht="18.75" x14ac:dyDescent="0.3">
      <c r="B22" s="14" t="s">
        <v>1</v>
      </c>
      <c r="C22" s="15"/>
      <c r="D22" s="8">
        <v>10</v>
      </c>
      <c r="E22" s="7"/>
    </row>
    <row r="23" spans="1:5" ht="18.75" x14ac:dyDescent="0.3">
      <c r="B23" s="14" t="s">
        <v>2</v>
      </c>
      <c r="C23" s="15"/>
      <c r="D23" s="9">
        <v>1.0789999999999999E-2</v>
      </c>
      <c r="E23" s="7"/>
    </row>
    <row r="24" spans="1:5" ht="18.75" x14ac:dyDescent="0.3">
      <c r="B24" s="16" t="s">
        <v>3</v>
      </c>
      <c r="C24" s="17"/>
      <c r="D24" s="10">
        <f>FV(D23,D22*12,D21*-1)</f>
        <v>48656.842506034438</v>
      </c>
      <c r="E24" s="7"/>
    </row>
    <row r="25" spans="1:5" ht="19.5" thickBot="1" x14ac:dyDescent="0.35">
      <c r="B25" s="18" t="s">
        <v>4</v>
      </c>
      <c r="C25" s="19"/>
      <c r="D25" s="11">
        <f>D24*D23</f>
        <v>525.0073306401116</v>
      </c>
      <c r="E25" s="7"/>
    </row>
    <row r="26" spans="1:5" ht="15.75" thickBot="1" x14ac:dyDescent="0.3">
      <c r="B26" s="7"/>
      <c r="C26" s="7"/>
      <c r="D26" s="7"/>
      <c r="E26" s="7"/>
    </row>
    <row r="27" spans="1:5" ht="24.75" customHeight="1" thickBot="1" x14ac:dyDescent="0.5">
      <c r="B27" s="36" t="s">
        <v>11</v>
      </c>
      <c r="C27" s="37"/>
      <c r="D27" s="38" t="s">
        <v>12</v>
      </c>
    </row>
    <row r="28" spans="1:5" x14ac:dyDescent="0.25">
      <c r="A28" s="1">
        <v>2</v>
      </c>
      <c r="B28" s="39" t="s">
        <v>10</v>
      </c>
      <c r="C28" s="5">
        <f>FV($D$23,$A28*12,$D$21*-1)</f>
        <v>5445.5254595290435</v>
      </c>
      <c r="D28" s="40">
        <f>$C28*Rendimento_carteira</f>
        <v>54.455254595290434</v>
      </c>
    </row>
    <row r="29" spans="1:5" x14ac:dyDescent="0.25">
      <c r="A29" s="1">
        <v>5</v>
      </c>
      <c r="B29" s="41" t="s">
        <v>9</v>
      </c>
      <c r="C29" s="6">
        <f t="shared" ref="C29:D32" si="0">FV($D$23,$A29*12,$D$21*-1)</f>
        <v>16755.382799697527</v>
      </c>
      <c r="D29" s="40">
        <f>$C29*Rendimento_carteira</f>
        <v>167.55382799697529</v>
      </c>
    </row>
    <row r="30" spans="1:5" x14ac:dyDescent="0.25">
      <c r="A30" s="1">
        <v>10</v>
      </c>
      <c r="B30" s="41" t="s">
        <v>8</v>
      </c>
      <c r="C30" s="6">
        <f t="shared" si="0"/>
        <v>48656.842506034438</v>
      </c>
      <c r="D30" s="40">
        <f>$C30*Rendimento_carteira</f>
        <v>486.5684250603444</v>
      </c>
    </row>
    <row r="31" spans="1:5" x14ac:dyDescent="0.25">
      <c r="A31" s="1">
        <v>20</v>
      </c>
      <c r="B31" s="41" t="s">
        <v>7</v>
      </c>
      <c r="C31" s="6">
        <f t="shared" si="0"/>
        <v>225039.68001941612</v>
      </c>
      <c r="D31" s="40">
        <f>$C31*Rendimento_carteira</f>
        <v>2250.3968001941612</v>
      </c>
    </row>
    <row r="32" spans="1:5" ht="15.75" thickBot="1" x14ac:dyDescent="0.3">
      <c r="A32" s="1">
        <v>30</v>
      </c>
      <c r="B32" s="42" t="s">
        <v>6</v>
      </c>
      <c r="C32" s="43">
        <f t="shared" si="0"/>
        <v>864433.93100094295</v>
      </c>
      <c r="D32" s="44">
        <f>$C32*Rendimento_carteira</f>
        <v>8644.339310009429</v>
      </c>
    </row>
    <row r="35" spans="2:4" ht="20.25" customHeight="1" x14ac:dyDescent="0.25">
      <c r="B35" s="45" t="s">
        <v>21</v>
      </c>
      <c r="C35" s="45" t="s">
        <v>17</v>
      </c>
      <c r="D35" s="45"/>
    </row>
    <row r="36" spans="2:4" x14ac:dyDescent="0.25">
      <c r="B36" s="2" t="s">
        <v>20</v>
      </c>
      <c r="C36" s="2"/>
      <c r="D36" s="46">
        <v>500</v>
      </c>
    </row>
    <row r="38" spans="2:4" x14ac:dyDescent="0.25">
      <c r="B38" s="47" t="s">
        <v>24</v>
      </c>
      <c r="C38" s="47" t="s">
        <v>22</v>
      </c>
      <c r="D38" s="47" t="s">
        <v>23</v>
      </c>
    </row>
    <row r="39" spans="2:4" x14ac:dyDescent="0.25">
      <c r="B39" t="s">
        <v>25</v>
      </c>
      <c r="C39" s="3">
        <f>VLOOKUP($C$35&amp;"-"&amp;$B39,Planilha1!$A$3:$D$21,4,)</f>
        <v>0.5</v>
      </c>
      <c r="D39">
        <f>C39*Aporte</f>
        <v>100</v>
      </c>
    </row>
    <row r="40" spans="2:4" x14ac:dyDescent="0.25">
      <c r="B40" t="s">
        <v>26</v>
      </c>
      <c r="C40" s="3">
        <f>VLOOKUP($C$35&amp;"-"&amp;$B40,Planilha1!$A$3:$D$21,4,)</f>
        <v>0.1</v>
      </c>
      <c r="D40">
        <f>C40*Aporte</f>
        <v>20</v>
      </c>
    </row>
    <row r="41" spans="2:4" x14ac:dyDescent="0.25">
      <c r="B41" t="s">
        <v>27</v>
      </c>
      <c r="C41" s="3">
        <f>VLOOKUP($C$35&amp;"-"&amp;$B41,Planilha1!$A$3:$D$21,4,)</f>
        <v>0.05</v>
      </c>
      <c r="D41">
        <f>C41*Aporte</f>
        <v>10</v>
      </c>
    </row>
    <row r="42" spans="2:4" x14ac:dyDescent="0.25">
      <c r="B42" t="s">
        <v>28</v>
      </c>
      <c r="C42" s="3">
        <f>VLOOKUP($C$35&amp;"-"&amp;$B42,Planilha1!$A$3:$D$21,4,)</f>
        <v>0.05</v>
      </c>
      <c r="D42">
        <f>C42*Aporte</f>
        <v>10</v>
      </c>
    </row>
    <row r="43" spans="2:4" x14ac:dyDescent="0.25">
      <c r="B43" t="s">
        <v>29</v>
      </c>
      <c r="C43" s="3">
        <f>VLOOKUP($C$35&amp;"-"&amp;$B43,Planilha1!$A$3:$D$21,4,)</f>
        <v>0.2</v>
      </c>
      <c r="D43">
        <f>C43*Aporte</f>
        <v>40</v>
      </c>
    </row>
    <row r="44" spans="2:4" x14ac:dyDescent="0.25">
      <c r="B44" t="s">
        <v>30</v>
      </c>
      <c r="C44" s="3">
        <f>VLOOKUP($C$35&amp;"-"&amp;$B44,Planilha1!$A$3:$D$21,4,)</f>
        <v>0.1</v>
      </c>
      <c r="D44">
        <f>C44*Aporte</f>
        <v>20</v>
      </c>
    </row>
    <row r="45" spans="2:4" x14ac:dyDescent="0.25">
      <c r="B45" t="s">
        <v>31</v>
      </c>
      <c r="C45" s="3">
        <f>SUM(C39:C44)</f>
        <v>1.0000000000000002</v>
      </c>
      <c r="D45">
        <f>SUM(D39:D44)</f>
        <v>200</v>
      </c>
    </row>
  </sheetData>
  <mergeCells count="10">
    <mergeCell ref="B23:C23"/>
    <mergeCell ref="B24:C24"/>
    <mergeCell ref="B25:C25"/>
    <mergeCell ref="B36:C36"/>
    <mergeCell ref="B13:D13"/>
    <mergeCell ref="B14:C14"/>
    <mergeCell ref="B15:C15"/>
    <mergeCell ref="B16:C16"/>
    <mergeCell ref="B21:C21"/>
    <mergeCell ref="B22:C22"/>
  </mergeCells>
  <dataValidations disablePrompts="1" count="1">
    <dataValidation type="list" allowBlank="1" showInputMessage="1" showErrorMessage="1" sqref="C35" xr:uid="{2A2AA4E8-8C2D-4A02-A984-2DB6E456A656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E81B6-3EC9-4779-8A23-268A9305D8C0}">
  <dimension ref="A3:D21"/>
  <sheetViews>
    <sheetView workbookViewId="0">
      <selection activeCell="D14" sqref="D14"/>
    </sheetView>
  </sheetViews>
  <sheetFormatPr defaultRowHeight="15" x14ac:dyDescent="0.25"/>
  <cols>
    <col min="1" max="1" width="26.7109375" customWidth="1"/>
    <col min="2" max="2" width="12.140625" bestFit="1" customWidth="1"/>
    <col min="3" max="3" width="18.42578125" customWidth="1"/>
  </cols>
  <sheetData>
    <row r="3" spans="1:4" x14ac:dyDescent="0.25">
      <c r="A3" s="53" t="s">
        <v>39</v>
      </c>
      <c r="B3" s="47" t="s">
        <v>16</v>
      </c>
      <c r="C3" s="47" t="s">
        <v>24</v>
      </c>
      <c r="D3" s="51" t="s">
        <v>32</v>
      </c>
    </row>
    <row r="4" spans="1:4" x14ac:dyDescent="0.25">
      <c r="A4" s="3" t="s">
        <v>33</v>
      </c>
      <c r="B4" s="45" t="s">
        <v>19</v>
      </c>
      <c r="C4" t="s">
        <v>25</v>
      </c>
      <c r="D4" s="4">
        <v>0.3</v>
      </c>
    </row>
    <row r="5" spans="1:4" x14ac:dyDescent="0.25">
      <c r="A5" s="3" t="s">
        <v>34</v>
      </c>
      <c r="B5" s="45" t="s">
        <v>19</v>
      </c>
      <c r="C5" t="s">
        <v>26</v>
      </c>
      <c r="D5" s="4">
        <v>0.5</v>
      </c>
    </row>
    <row r="6" spans="1:4" x14ac:dyDescent="0.25">
      <c r="A6" s="3" t="s">
        <v>35</v>
      </c>
      <c r="B6" s="45" t="s">
        <v>19</v>
      </c>
      <c r="C6" t="s">
        <v>27</v>
      </c>
      <c r="D6" s="4">
        <v>0.1</v>
      </c>
    </row>
    <row r="7" spans="1:4" x14ac:dyDescent="0.25">
      <c r="A7" s="3" t="s">
        <v>36</v>
      </c>
      <c r="B7" s="45" t="s">
        <v>19</v>
      </c>
      <c r="C7" t="s">
        <v>28</v>
      </c>
      <c r="D7" s="4">
        <v>0.1</v>
      </c>
    </row>
    <row r="8" spans="1:4" x14ac:dyDescent="0.25">
      <c r="A8" s="3" t="s">
        <v>37</v>
      </c>
      <c r="B8" s="45" t="s">
        <v>19</v>
      </c>
      <c r="C8" t="s">
        <v>29</v>
      </c>
      <c r="D8" s="4">
        <v>0</v>
      </c>
    </row>
    <row r="9" spans="1:4" x14ac:dyDescent="0.25">
      <c r="A9" s="48" t="s">
        <v>38</v>
      </c>
      <c r="B9" s="49" t="s">
        <v>19</v>
      </c>
      <c r="C9" s="50" t="s">
        <v>30</v>
      </c>
      <c r="D9" s="52">
        <v>0</v>
      </c>
    </row>
    <row r="10" spans="1:4" x14ac:dyDescent="0.25">
      <c r="A10" s="3" t="s">
        <v>40</v>
      </c>
      <c r="B10" s="45" t="s">
        <v>18</v>
      </c>
      <c r="C10" t="s">
        <v>25</v>
      </c>
      <c r="D10" s="4">
        <v>0.32</v>
      </c>
    </row>
    <row r="11" spans="1:4" x14ac:dyDescent="0.25">
      <c r="A11" s="3" t="s">
        <v>41</v>
      </c>
      <c r="B11" s="45" t="s">
        <v>18</v>
      </c>
      <c r="C11" t="s">
        <v>26</v>
      </c>
      <c r="D11" s="4">
        <v>0.35</v>
      </c>
    </row>
    <row r="12" spans="1:4" x14ac:dyDescent="0.25">
      <c r="A12" s="3" t="s">
        <v>42</v>
      </c>
      <c r="B12" s="45" t="s">
        <v>18</v>
      </c>
      <c r="C12" t="s">
        <v>27</v>
      </c>
      <c r="D12" s="4">
        <v>0.08</v>
      </c>
    </row>
    <row r="13" spans="1:4" x14ac:dyDescent="0.25">
      <c r="A13" s="3" t="s">
        <v>43</v>
      </c>
      <c r="B13" s="45" t="s">
        <v>18</v>
      </c>
      <c r="C13" t="s">
        <v>28</v>
      </c>
      <c r="D13" s="4">
        <v>0.05</v>
      </c>
    </row>
    <row r="14" spans="1:4" x14ac:dyDescent="0.25">
      <c r="A14" s="3" t="s">
        <v>44</v>
      </c>
      <c r="B14" s="45" t="s">
        <v>18</v>
      </c>
      <c r="C14" t="s">
        <v>29</v>
      </c>
      <c r="D14" s="4">
        <v>0.1</v>
      </c>
    </row>
    <row r="15" spans="1:4" x14ac:dyDescent="0.25">
      <c r="A15" s="48" t="s">
        <v>45</v>
      </c>
      <c r="B15" s="49" t="s">
        <v>18</v>
      </c>
      <c r="C15" s="50" t="s">
        <v>30</v>
      </c>
      <c r="D15" s="52">
        <v>0.1</v>
      </c>
    </row>
    <row r="16" spans="1:4" x14ac:dyDescent="0.25">
      <c r="A16" s="3" t="s">
        <v>46</v>
      </c>
      <c r="B16" s="45" t="s">
        <v>17</v>
      </c>
      <c r="C16" t="s">
        <v>25</v>
      </c>
      <c r="D16" s="4">
        <v>0.5</v>
      </c>
    </row>
    <row r="17" spans="1:4" x14ac:dyDescent="0.25">
      <c r="A17" s="3" t="s">
        <v>47</v>
      </c>
      <c r="B17" s="45" t="s">
        <v>17</v>
      </c>
      <c r="C17" t="s">
        <v>26</v>
      </c>
      <c r="D17" s="4">
        <v>0.1</v>
      </c>
    </row>
    <row r="18" spans="1:4" x14ac:dyDescent="0.25">
      <c r="A18" s="3" t="s">
        <v>48</v>
      </c>
      <c r="B18" s="45" t="s">
        <v>17</v>
      </c>
      <c r="C18" t="s">
        <v>27</v>
      </c>
      <c r="D18" s="4">
        <v>0.05</v>
      </c>
    </row>
    <row r="19" spans="1:4" x14ac:dyDescent="0.25">
      <c r="A19" s="3" t="s">
        <v>49</v>
      </c>
      <c r="B19" s="45" t="s">
        <v>17</v>
      </c>
      <c r="C19" t="s">
        <v>28</v>
      </c>
      <c r="D19" s="4">
        <v>0.05</v>
      </c>
    </row>
    <row r="20" spans="1:4" x14ac:dyDescent="0.25">
      <c r="A20" s="3" t="s">
        <v>50</v>
      </c>
      <c r="B20" s="45" t="s">
        <v>17</v>
      </c>
      <c r="C20" t="s">
        <v>29</v>
      </c>
      <c r="D20" s="4">
        <v>0.2</v>
      </c>
    </row>
    <row r="21" spans="1:4" x14ac:dyDescent="0.25">
      <c r="A21" s="3" t="s">
        <v>51</v>
      </c>
      <c r="B21" s="45" t="s">
        <v>17</v>
      </c>
      <c r="C21" t="s">
        <v>30</v>
      </c>
      <c r="D21" s="4">
        <v>0.1</v>
      </c>
    </row>
  </sheetData>
  <dataValidations count="1">
    <dataValidation type="list" allowBlank="1" showInputMessage="1" showErrorMessage="1" sqref="B4:B9" xr:uid="{598DE64E-02FA-4418-B843-A278273E84FF}">
      <formula1>"Conservador, Moderado, Agressivo"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Planilha2</vt:lpstr>
      <vt:lpstr>Planilha1</vt:lpstr>
      <vt:lpstr>Aporte</vt:lpstr>
      <vt:lpstr>Rendimento_carteira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eduardo romualdo</dc:creator>
  <cp:lastModifiedBy>pablo eduardo romualdo</cp:lastModifiedBy>
  <dcterms:created xsi:type="dcterms:W3CDTF">2026-09-17T01:04:17Z</dcterms:created>
  <dcterms:modified xsi:type="dcterms:W3CDTF">2026-09-19T00:36:24Z</dcterms:modified>
</cp:coreProperties>
</file>